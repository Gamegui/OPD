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Шаг 3 — PEST" sheetId="1" state="visible" r:id="rId1"/>
  </sheets>
  <definedNames>
    <definedName name="_xlnm._FilterDatabase" localSheetId="0" hidden="1">'Шаг 3 — PEST'!$A$2:$I$18</definedName>
    <definedName name="_xlnm.Print_Area" localSheetId="0">'Шаг 3 — PEST'!$A$1:$I$19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FFFFE699"/>
        <bgColor rgb="FFFFF2CC"/>
      </patternFill>
    </fill>
    <fill>
      <patternFill patternType="solid">
        <fgColor rgb="FFFFF2CC"/>
        <bgColor rgb="FFFFE699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6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7" fillId="4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2" fontId="0" fillId="0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7" fillId="6" borderId="11" applyAlignment="1" pivotButton="0" quotePrefix="0" xfId="0">
      <alignment horizontal="center" vertical="center" wrapText="1"/>
    </xf>
    <xf numFmtId="1" fontId="7" fillId="6" borderId="11" applyAlignment="1" pivotButton="0" quotePrefix="0" xfId="0">
      <alignment horizontal="center" vertical="center" wrapText="1"/>
    </xf>
    <xf numFmtId="2" fontId="7" fillId="6" borderId="1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9"/>
  <sheetViews>
    <sheetView showFormulas="0" showGridLines="1" showRowColHeaders="1" showZeros="1" rightToLeft="0" tabSelected="1" showOutlineSymbols="1" defaultGridColor="1" view="normal" topLeftCell="A1" colorId="64" zoomScale="60" zoomScaleNormal="60" zoomScalePageLayoutView="100" workbookViewId="0">
      <pane ySplit="2" topLeftCell="A3" activePane="bottomLeft" state="frozen"/>
      <selection pane="bottomLeft" activeCell="A1" activeCellId="0" sqref="A1"/>
      <selection pane="bottomLeft" activeCell="J12" activeCellId="0" sqref="J12"/>
    </sheetView>
  </sheetViews>
  <sheetFormatPr baseColWidth="8" defaultColWidth="8.515625" defaultRowHeight="15" customHeight="0" zeroHeight="0" outlineLevelRow="0"/>
  <cols>
    <col width="48" customWidth="1" style="5" min="1" max="1"/>
    <col width="18" customWidth="1" style="5" min="2" max="2"/>
    <col width="9" customWidth="1" style="5" min="3" max="7"/>
    <col width="9" customWidth="1" style="6" min="4" max="4"/>
    <col width="9" customWidth="1" style="6" min="5" max="5"/>
    <col width="9" customWidth="1" style="6" min="6" max="6"/>
    <col width="9" customWidth="1" style="6" min="7" max="7"/>
    <col width="17" customWidth="1" style="5" min="8" max="8"/>
    <col width="24" customWidth="1" style="5" min="9" max="9"/>
  </cols>
  <sheetData>
    <row r="1" ht="28" customHeight="1" s="6">
      <c r="A1" s="7" t="n"/>
      <c r="B1" s="7" t="n"/>
      <c r="C1" s="7" t="inlineStr">
        <is>
          <t>Экспертная оценка</t>
        </is>
      </c>
      <c r="D1" s="13" t="n"/>
      <c r="E1" s="13" t="n"/>
      <c r="F1" s="13" t="n"/>
      <c r="G1" s="14" t="n"/>
      <c r="H1" s="7" t="n"/>
      <c r="I1" s="7" t="n"/>
    </row>
    <row r="2" ht="45" customHeight="1" s="6">
      <c r="A2" s="9" t="inlineStr">
        <is>
          <t>Описание фактора</t>
        </is>
      </c>
      <c r="B2" s="9" t="inlineStr">
        <is>
          <t>Влияние фактора</t>
        </is>
      </c>
      <c r="C2" s="9" t="inlineStr">
        <is>
          <t>1</t>
        </is>
      </c>
      <c r="D2" s="9" t="inlineStr">
        <is>
          <t>2</t>
        </is>
      </c>
      <c r="E2" s="9" t="inlineStr">
        <is>
          <t>3</t>
        </is>
      </c>
      <c r="F2" s="9" t="inlineStr">
        <is>
          <t>4</t>
        </is>
      </c>
      <c r="G2" s="9" t="inlineStr">
        <is>
          <t>5</t>
        </is>
      </c>
      <c r="H2" s="9" t="inlineStr">
        <is>
          <t>Средняя оценка</t>
        </is>
      </c>
      <c r="I2" s="9" t="inlineStr">
        <is>
          <t>Оценка с поправкой на вес</t>
        </is>
      </c>
    </row>
    <row r="3" ht="28" customHeight="1" s="6">
      <c r="A3" s="10" t="inlineStr">
        <is>
          <t>Политические факторы</t>
        </is>
      </c>
      <c r="B3" s="13" t="n"/>
      <c r="C3" s="13" t="n"/>
      <c r="D3" s="13" t="n"/>
      <c r="E3" s="13" t="n"/>
      <c r="F3" s="13" t="n"/>
      <c r="G3" s="13" t="n"/>
      <c r="H3" s="13" t="n"/>
      <c r="I3" s="14" t="n"/>
    </row>
    <row r="4" ht="42" customHeight="1" s="6">
      <c r="A4" s="8" t="inlineStr">
        <is>
          <t>Изменение законодательства о маркетплейсах</t>
        </is>
      </c>
      <c r="B4" s="11" t="n">
        <v>2</v>
      </c>
      <c r="C4" s="11" t="n">
        <v>4</v>
      </c>
      <c r="D4" s="11" t="n">
        <v>3</v>
      </c>
      <c r="E4" s="11" t="n">
        <v>2</v>
      </c>
      <c r="F4" s="11" t="n">
        <v>4</v>
      </c>
      <c r="G4" s="11" t="n">
        <v>5</v>
      </c>
      <c r="H4" s="12">
        <f>AVERAGE(C4:G4)</f>
        <v/>
      </c>
      <c r="I4" s="12">
        <f>B4/SUM($B$4:$B$6,$B$8:$B$10,$B$12:$B$14,$B$16:$B$18)*H4</f>
        <v/>
      </c>
    </row>
    <row r="5" ht="42" customHeight="1" s="6">
      <c r="A5" s="8" t="inlineStr">
        <is>
          <t>Изменение налоговых требований</t>
        </is>
      </c>
      <c r="B5" s="11" t="n">
        <v>1</v>
      </c>
      <c r="C5" s="11" t="n">
        <v>1</v>
      </c>
      <c r="D5" s="11" t="n">
        <v>1</v>
      </c>
      <c r="E5" s="11" t="n">
        <v>2</v>
      </c>
      <c r="F5" s="11" t="n">
        <v>1</v>
      </c>
      <c r="G5" s="11" t="n">
        <v>3</v>
      </c>
      <c r="H5" s="12">
        <f>AVERAGE(C5:G5)</f>
        <v/>
      </c>
      <c r="I5" s="12">
        <f>B5/SUM($B$4:$B$6,$B$8:$B$10,$B$12:$B$14,$B$16:$B$18)*H5</f>
        <v/>
      </c>
    </row>
    <row r="6" ht="42" customHeight="1" s="6">
      <c r="A6" s="8" t="inlineStr">
        <is>
          <t>Усиление регулирования электронной торговли</t>
        </is>
      </c>
      <c r="B6" s="11" t="n">
        <v>1</v>
      </c>
      <c r="C6" s="11" t="n">
        <v>2</v>
      </c>
      <c r="D6" s="11" t="n">
        <v>2</v>
      </c>
      <c r="E6" s="11" t="n">
        <v>1</v>
      </c>
      <c r="F6" s="11" t="n">
        <v>1</v>
      </c>
      <c r="G6" s="11" t="n">
        <v>1</v>
      </c>
      <c r="H6" s="12">
        <f>AVERAGE(C6:G6)</f>
        <v/>
      </c>
      <c r="I6" s="12">
        <f>B6/SUM($B$4:$B$6,$B$8:$B$10,$B$12:$B$14,$B$16:$B$18)*H6</f>
        <v/>
      </c>
    </row>
    <row r="7" ht="28" customHeight="1" s="6">
      <c r="A7" s="10" t="inlineStr">
        <is>
          <t>Экономические факторы</t>
        </is>
      </c>
      <c r="B7" s="13" t="n"/>
      <c r="C7" s="13" t="n"/>
      <c r="D7" s="13" t="n"/>
      <c r="E7" s="13" t="n"/>
      <c r="F7" s="13" t="n"/>
      <c r="G7" s="13" t="n"/>
      <c r="H7" s="13" t="n"/>
      <c r="I7" s="14" t="n"/>
    </row>
    <row r="8" ht="42" customHeight="1" s="6">
      <c r="A8" s="8" t="inlineStr">
        <is>
          <t>Рост стоимости товаров и логистики</t>
        </is>
      </c>
      <c r="B8" s="11" t="n">
        <v>2</v>
      </c>
      <c r="C8" s="11" t="n">
        <v>1</v>
      </c>
      <c r="D8" s="11" t="n">
        <v>2</v>
      </c>
      <c r="E8" s="11" t="n">
        <v>1</v>
      </c>
      <c r="F8" s="11" t="n">
        <v>1</v>
      </c>
      <c r="G8" s="11" t="n">
        <v>1</v>
      </c>
      <c r="H8" s="12">
        <f>AVERAGE(C8:G8)</f>
        <v/>
      </c>
      <c r="I8" s="12">
        <f>B8/SUM($B$4:$B$6,$B$8:$B$10,$B$12:$B$14,$B$16:$B$18)*H8</f>
        <v/>
      </c>
    </row>
    <row r="9" ht="42" customHeight="1" s="6">
      <c r="A9" s="8" t="inlineStr">
        <is>
          <t>Изменение комиссий маркетплейсов</t>
        </is>
      </c>
      <c r="B9" s="11" t="n">
        <v>2</v>
      </c>
      <c r="C9" s="11" t="n">
        <v>1</v>
      </c>
      <c r="D9" s="11" t="n">
        <v>1</v>
      </c>
      <c r="E9" s="11" t="n">
        <v>2</v>
      </c>
      <c r="F9" s="11" t="n">
        <v>1</v>
      </c>
      <c r="G9" s="11" t="n">
        <v>1</v>
      </c>
      <c r="H9" s="12">
        <f>AVERAGE(C9:G9)</f>
        <v/>
      </c>
      <c r="I9" s="12">
        <f>B9/SUM($B$4:$B$6,$B$8:$B$10,$B$12:$B$14,$B$16:$B$18)*H9</f>
        <v/>
      </c>
    </row>
    <row r="10" ht="42" customHeight="1" s="6">
      <c r="A10" s="8" t="inlineStr">
        <is>
          <t>Изменение покупательной способности</t>
        </is>
      </c>
      <c r="B10" s="11" t="n">
        <v>1</v>
      </c>
      <c r="C10" s="11" t="n">
        <v>1</v>
      </c>
      <c r="D10" s="11" t="n">
        <v>1</v>
      </c>
      <c r="E10" s="11" t="n">
        <v>1</v>
      </c>
      <c r="F10" s="11" t="n">
        <v>1</v>
      </c>
      <c r="G10" s="11" t="n">
        <v>2</v>
      </c>
      <c r="H10" s="12">
        <f>AVERAGE(C10:G10)</f>
        <v/>
      </c>
      <c r="I10" s="12">
        <f>B10/SUM($B$4:$B$6,$B$8:$B$10,$B$12:$B$14,$B$16:$B$18)*H10</f>
        <v/>
      </c>
    </row>
    <row r="11" ht="28" customHeight="1" s="6">
      <c r="A11" s="10" t="inlineStr">
        <is>
          <t>Социально-культурные факторы</t>
        </is>
      </c>
      <c r="B11" s="13" t="n"/>
      <c r="C11" s="13" t="n"/>
      <c r="D11" s="13" t="n"/>
      <c r="E11" s="13" t="n"/>
      <c r="F11" s="13" t="n"/>
      <c r="G11" s="13" t="n"/>
      <c r="H11" s="13" t="n"/>
      <c r="I11" s="14" t="n"/>
    </row>
    <row r="12" ht="42" customHeight="1" s="6">
      <c r="A12" s="8" t="inlineStr">
        <is>
          <t>Рост числа начинающих селлеров</t>
        </is>
      </c>
      <c r="B12" s="11" t="n">
        <v>3</v>
      </c>
      <c r="C12" s="11" t="n">
        <v>5</v>
      </c>
      <c r="D12" s="11" t="n">
        <v>5</v>
      </c>
      <c r="E12" s="11" t="n">
        <v>5</v>
      </c>
      <c r="F12" s="11" t="n">
        <v>4</v>
      </c>
      <c r="G12" s="11" t="n">
        <v>5</v>
      </c>
      <c r="H12" s="12">
        <f>AVERAGE(C12:G12)</f>
        <v/>
      </c>
      <c r="I12" s="12">
        <f>B12/SUM($B$4:$B$6,$B$8:$B$10,$B$12:$B$14,$B$16:$B$18)*H12</f>
        <v/>
      </c>
    </row>
    <row r="13" ht="42" customHeight="1" s="6">
      <c r="A13" s="8" t="inlineStr">
        <is>
          <t>Недостаток знаний и опыта у начинающих селлеров</t>
        </is>
      </c>
      <c r="B13" s="11" t="n">
        <v>2</v>
      </c>
      <c r="C13" s="11" t="n">
        <v>3</v>
      </c>
      <c r="D13" s="11" t="n">
        <v>2</v>
      </c>
      <c r="E13" s="11" t="n">
        <v>3</v>
      </c>
      <c r="F13" s="11" t="n">
        <v>4</v>
      </c>
      <c r="G13" s="11" t="n">
        <v>1</v>
      </c>
      <c r="H13" s="12">
        <f>AVERAGE(C13:G13)</f>
        <v/>
      </c>
      <c r="I13" s="12">
        <f>B13/SUM($B$4:$B$6,$B$8:$B$10,$B$12:$B$14,$B$16:$B$18)*H13</f>
        <v/>
      </c>
    </row>
    <row r="14" ht="42" customHeight="1" s="6">
      <c r="A14" s="8" t="inlineStr">
        <is>
          <t>Рост требований пользователей к удобству работы</t>
        </is>
      </c>
      <c r="B14" s="11" t="n">
        <v>2</v>
      </c>
      <c r="C14" s="11" t="n">
        <v>3</v>
      </c>
      <c r="D14" s="11" t="n">
        <v>4</v>
      </c>
      <c r="E14" s="11" t="n">
        <v>3</v>
      </c>
      <c r="F14" s="11" t="n">
        <v>2</v>
      </c>
      <c r="G14" s="11" t="n">
        <v>3</v>
      </c>
      <c r="H14" s="12">
        <f>AVERAGE(C14:G14)</f>
        <v/>
      </c>
      <c r="I14" s="12">
        <f>B14/SUM($B$4:$B$6,$B$8:$B$10,$B$12:$B$14,$B$16:$B$18)*H14</f>
        <v/>
      </c>
    </row>
    <row r="15" ht="28" customHeight="1" s="6">
      <c r="A15" s="10" t="inlineStr">
        <is>
          <t>Технологические факторы</t>
        </is>
      </c>
      <c r="B15" s="13" t="n"/>
      <c r="C15" s="13" t="n"/>
      <c r="D15" s="13" t="n"/>
      <c r="E15" s="13" t="n"/>
      <c r="F15" s="13" t="n"/>
      <c r="G15" s="13" t="n"/>
      <c r="H15" s="13" t="n"/>
      <c r="I15" s="14" t="n"/>
    </row>
    <row r="16" ht="42" customHeight="1" s="6">
      <c r="A16" s="8" t="inlineStr">
        <is>
          <t>Развитие ИИ и автоматизации</t>
        </is>
      </c>
      <c r="B16" s="11" t="n">
        <v>3</v>
      </c>
      <c r="C16" s="11" t="n">
        <v>3</v>
      </c>
      <c r="D16" s="11" t="n">
        <v>4</v>
      </c>
      <c r="E16" s="11" t="n">
        <v>4</v>
      </c>
      <c r="F16" s="11" t="n">
        <v>5</v>
      </c>
      <c r="G16" s="11" t="n">
        <v>4</v>
      </c>
      <c r="H16" s="12">
        <f>AVERAGE(C16:G16)</f>
        <v/>
      </c>
      <c r="I16" s="12">
        <f>B16/SUM($B$4:$B$6,$B$8:$B$10,$B$12:$B$14,$B$16:$B$18)*H16</f>
        <v/>
      </c>
    </row>
    <row r="17" ht="42" customHeight="1" s="6">
      <c r="A17" s="8" t="inlineStr">
        <is>
          <t>Развитие аналитических сервисов</t>
        </is>
      </c>
      <c r="B17" s="11" t="n">
        <v>3</v>
      </c>
      <c r="C17" s="11" t="n">
        <v>3</v>
      </c>
      <c r="D17" s="11" t="n">
        <v>4</v>
      </c>
      <c r="E17" s="11" t="n">
        <v>3</v>
      </c>
      <c r="F17" s="11" t="n">
        <v>3</v>
      </c>
      <c r="G17" s="11" t="n">
        <v>4</v>
      </c>
      <c r="H17" s="12">
        <f>AVERAGE(C17:G17)</f>
        <v/>
      </c>
      <c r="I17" s="12">
        <f>B17/SUM($B$4:$B$6,$B$8:$B$10,$B$12:$B$14,$B$16:$B$18)*H17</f>
        <v/>
      </c>
    </row>
    <row r="18" ht="42" customHeight="1" s="6">
      <c r="A18" s="8" t="inlineStr">
        <is>
          <t>Развитие инструментов продвижения на маркетплейсах</t>
        </is>
      </c>
      <c r="B18" s="11" t="n">
        <v>2</v>
      </c>
      <c r="C18" s="11" t="n">
        <v>3</v>
      </c>
      <c r="D18" s="11" t="n">
        <v>3</v>
      </c>
      <c r="E18" s="11" t="n">
        <v>2</v>
      </c>
      <c r="F18" s="11" t="n">
        <v>3</v>
      </c>
      <c r="G18" s="11" t="n">
        <v>2</v>
      </c>
      <c r="H18" s="12">
        <f>AVERAGE(C18:G18)</f>
        <v/>
      </c>
      <c r="I18" s="12">
        <f>B18/SUM($B$4:$B$6,$B$8:$B$10,$B$12:$B$14,$B$16:$B$18)*H18</f>
        <v/>
      </c>
    </row>
    <row r="19" ht="32" customHeight="1" s="6">
      <c r="A19" s="15" t="inlineStr">
        <is>
          <t>Итого</t>
        </is>
      </c>
      <c r="B19" s="16">
        <f>SUM(B4:B6,B8:B10,B12:B14,B16:B18)</f>
        <v/>
      </c>
      <c r="C19" s="15" t="n"/>
      <c r="D19" s="15" t="n"/>
      <c r="E19" s="15" t="n"/>
      <c r="F19" s="15" t="n"/>
      <c r="G19" s="15" t="n"/>
      <c r="H19" s="17">
        <f>H19/B19</f>
        <v/>
      </c>
      <c r="I19" s="17">
        <f>SUM(I4:I6,I8:I10,I12:I14,I16:I18)</f>
        <v/>
      </c>
    </row>
  </sheetData>
  <autoFilter ref="A2:I18"/>
  <mergeCells count="5">
    <mergeCell ref="A15:I15"/>
    <mergeCell ref="A7:I7"/>
    <mergeCell ref="A11:I11"/>
    <mergeCell ref="C1:G1"/>
    <mergeCell ref="A3:I3"/>
  </mergeCells>
  <conditionalFormatting sqref="I4:I18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2026-10-21T04:21:14Z</dcterms:created>
  <dcterms:modified xmlns:dcterms="http://purl.org/dc/terms/" xmlns:xsi="http://www.w3.org/2001/XMLSchema-instance" xsi:type="dcterms:W3CDTF">2026-10-21T04:38:18Z</dcterms:modified>
  <cp:revision>1</cp:revision>
</cp:coreProperties>
</file>